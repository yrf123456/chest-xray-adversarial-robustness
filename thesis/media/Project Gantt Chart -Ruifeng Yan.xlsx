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408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<sst xmlns="http://schemas.openxmlformats.org/spreadsheetml/2006/main" count="11" uniqueCount="11">
  <si>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Project Goals</t>
  </si>
  <si>
    <t>1. Literature Review</t>
  </si>
  <si>
    <t>2. Prototype Experimentation</t>
  </si>
  <si>
    <t>3. Dataset Preparation</t>
  </si>
  <si>
    <t>4. Baseline Model Training</t>
  </si>
  <si>
    <t>5. Attack Implementation</t>
  </si>
  <si>
    <t>6. Robustness Evaluation</t>
  </si>
  <si>
    <t>7. Analysis</t>
  </si>
  <si>
    <t>8. Writing up time</t>
  </si>
  <si>
    <t>9. Contigency time</t>
  </si>
  <si>
    <t>Approximate Project Milestone deadline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</si>
</sst>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809]dd\ mmmm\ yyyy;@"/>
    <numFmt numFmtId="177" formatCode="dd/mm/yyyy;@"/>
  </numFmts>
  <fonts count="26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theme="1"/>
      <name val="等线"/>
      <charset val="134"/>
      <scheme val="minor"/>
    </font>
    <font>
      <sz val="11"/>
      <color theme="5"/>
      <name val="等线"/>
      <charset val="134"/>
      <scheme val="minor"/>
    </font>
    <font>
      <sz val="11"/>
      <color theme="8" tint="0.4"/>
      <name val="等线"/>
      <charset val="134"/>
      <scheme val="minor"/>
    </font>
    <font>
      <sz val="11"/>
      <color rgb="FFFFFF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rgb="FFFF0000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auto="1"/>
      </left>
      <right style="medium">
        <color rgb="FFFF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rgb="FFFF0000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theme="1"/>
      </right>
      <top/>
      <bottom style="medium">
        <color auto="1"/>
      </bottom>
      <diagonal/>
    </border>
    <border>
      <left style="thin">
        <color auto="1"/>
      </left>
      <right style="medium">
        <color rgb="FFFF0000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rgb="FFFF0000"/>
      </right>
      <top style="medium">
        <color auto="1"/>
      </top>
      <bottom/>
      <diagonal/>
    </border>
    <border>
      <left style="thin">
        <color auto="1"/>
      </left>
      <right style="medium">
        <color rgb="FFFF0000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4" borderId="1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5" borderId="20" applyNumberFormat="0" applyAlignment="0" applyProtection="0">
      <alignment vertical="center"/>
    </xf>
    <xf numFmtId="0" fontId="16" fillId="16" borderId="21" applyNumberFormat="0" applyAlignment="0" applyProtection="0">
      <alignment vertical="center"/>
    </xf>
    <xf numFmtId="0" fontId="17" fillId="16" borderId="20" applyNumberFormat="0" applyAlignment="0" applyProtection="0">
      <alignment vertical="center"/>
    </xf>
    <xf numFmtId="0" fontId="18" fillId="17" borderId="22" applyNumberFormat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</cellStyleXfs>
  <cellXfs count="57">
    <xf numFmtId="0" fontId="0" fillId="0" borderId="0" xfId="0"/>
    <xf numFmtId="176" fontId="0" fillId="0" borderId="0" xfId="0" applyNumberFormat="1"/>
    <xf numFmtId="177" fontId="0" fillId="0" borderId="1" xfId="0" applyNumberFormat="1" applyBorder="1" applyAlignment="1">
      <alignment horizontal="left" vertical="center" textRotation="135" shrinkToFi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/>
    <xf numFmtId="0" fontId="0" fillId="0" borderId="5" xfId="0" applyBorder="1"/>
    <xf numFmtId="0" fontId="0" fillId="0" borderId="6" xfId="0" applyBorder="1"/>
    <xf numFmtId="176" fontId="0" fillId="0" borderId="7" xfId="0" applyNumberFormat="1" applyBorder="1" applyAlignment="1">
      <alignment horizontal="center"/>
    </xf>
    <xf numFmtId="177" fontId="0" fillId="0" borderId="8" xfId="0" applyNumberFormat="1" applyBorder="1" applyAlignment="1">
      <alignment horizontal="left" vertical="center" shrinkToFit="1"/>
    </xf>
    <xf numFmtId="177" fontId="0" fillId="0" borderId="9" xfId="0" applyNumberFormat="1" applyBorder="1" applyAlignment="1">
      <alignment horizontal="left" vertical="center" textRotation="180" shrinkToFit="1"/>
    </xf>
    <xf numFmtId="177" fontId="0" fillId="0" borderId="1" xfId="0" applyNumberFormat="1" applyBorder="1" applyAlignment="1">
      <alignment horizontal="left" vertical="center" textRotation="180" shrinkToFit="1"/>
    </xf>
    <xf numFmtId="177" fontId="0" fillId="0" borderId="8" xfId="0" applyNumberFormat="1" applyBorder="1" applyAlignment="1">
      <alignment horizontal="left" vertical="center" textRotation="180" shrinkToFit="1"/>
    </xf>
    <xf numFmtId="177" fontId="0" fillId="0" borderId="10" xfId="0" applyNumberFormat="1" applyBorder="1" applyAlignment="1">
      <alignment horizontal="left" vertical="center" textRotation="180" shrinkToFit="1"/>
    </xf>
    <xf numFmtId="177" fontId="0" fillId="0" borderId="11" xfId="0" applyNumberFormat="1" applyBorder="1" applyAlignment="1">
      <alignment horizontal="left" vertical="center" textRotation="180" shrinkToFit="1"/>
    </xf>
    <xf numFmtId="177" fontId="0" fillId="0" borderId="12" xfId="0" applyNumberFormat="1" applyBorder="1" applyAlignment="1">
      <alignment horizontal="left" vertical="center" textRotation="180" shrinkToFit="1"/>
    </xf>
    <xf numFmtId="177" fontId="0" fillId="0" borderId="13" xfId="0" applyNumberFormat="1" applyBorder="1" applyAlignment="1">
      <alignment horizontal="left" vertical="center" textRotation="180" shrinkToFit="1"/>
    </xf>
    <xf numFmtId="0" fontId="2" fillId="0" borderId="0" xfId="0" applyFont="1"/>
    <xf numFmtId="0" fontId="0" fillId="0" borderId="14" xfId="0" applyBorder="1"/>
    <xf numFmtId="0" fontId="0" fillId="0" borderId="15" xfId="0" applyBorder="1"/>
    <xf numFmtId="0" fontId="0" fillId="2" borderId="16" xfId="0" applyFill="1" applyBorder="1"/>
    <xf numFmtId="0" fontId="0" fillId="3" borderId="0" xfId="0" applyFill="1"/>
    <xf numFmtId="0" fontId="0" fillId="3" borderId="3" xfId="0" applyFill="1" applyBorder="1"/>
    <xf numFmtId="0" fontId="0" fillId="4" borderId="0" xfId="0" applyFill="1"/>
    <xf numFmtId="0" fontId="0" fillId="4" borderId="4" xfId="0" applyFill="1" applyBorder="1"/>
    <xf numFmtId="0" fontId="0" fillId="4" borderId="3" xfId="0" applyFill="1" applyBorder="1"/>
    <xf numFmtId="0" fontId="0" fillId="0" borderId="0" xfId="0" applyFill="1"/>
    <xf numFmtId="0" fontId="0" fillId="0" borderId="4" xfId="0" applyFill="1" applyBorder="1"/>
    <xf numFmtId="0" fontId="0" fillId="0" borderId="3" xfId="0" applyFill="1" applyBorder="1"/>
    <xf numFmtId="0" fontId="0" fillId="5" borderId="0" xfId="0" applyFill="1"/>
    <xf numFmtId="0" fontId="1" fillId="5" borderId="0" xfId="0" applyFont="1" applyFill="1"/>
    <xf numFmtId="0" fontId="0" fillId="5" borderId="5" xfId="0" applyFill="1" applyBorder="1"/>
    <xf numFmtId="0" fontId="0" fillId="5" borderId="4" xfId="0" applyFill="1" applyBorder="1"/>
    <xf numFmtId="0" fontId="0" fillId="5" borderId="3" xfId="0" applyFill="1" applyBorder="1"/>
    <xf numFmtId="0" fontId="0" fillId="6" borderId="0" xfId="0" applyFill="1"/>
    <xf numFmtId="0" fontId="0" fillId="6" borderId="3" xfId="0" applyFill="1" applyBorder="1"/>
    <xf numFmtId="0" fontId="3" fillId="0" borderId="0" xfId="0" applyFont="1" applyFill="1"/>
    <xf numFmtId="0" fontId="3" fillId="0" borderId="3" xfId="0" applyFont="1" applyFill="1" applyBorder="1"/>
    <xf numFmtId="0" fontId="3" fillId="7" borderId="0" xfId="0" applyFont="1" applyFill="1"/>
    <xf numFmtId="0" fontId="3" fillId="7" borderId="3" xfId="0" applyFont="1" applyFill="1" applyBorder="1"/>
    <xf numFmtId="0" fontId="3" fillId="7" borderId="4" xfId="0" applyFont="1" applyFill="1" applyBorder="1"/>
    <xf numFmtId="0" fontId="0" fillId="8" borderId="0" xfId="0" applyFill="1"/>
    <xf numFmtId="0" fontId="0" fillId="8" borderId="3" xfId="0" applyFill="1" applyBorder="1"/>
    <xf numFmtId="0" fontId="4" fillId="9" borderId="0" xfId="0" applyFont="1" applyFill="1"/>
    <xf numFmtId="0" fontId="4" fillId="9" borderId="3" xfId="0" applyFont="1" applyFill="1" applyBorder="1"/>
    <xf numFmtId="0" fontId="0" fillId="10" borderId="0" xfId="0" applyFill="1"/>
    <xf numFmtId="0" fontId="0" fillId="10" borderId="3" xfId="0" applyFill="1" applyBorder="1"/>
    <xf numFmtId="0" fontId="0" fillId="11" borderId="0" xfId="0" applyFill="1"/>
    <xf numFmtId="0" fontId="0" fillId="11" borderId="3" xfId="0" applyFill="1" applyBorder="1"/>
    <xf numFmtId="0" fontId="0" fillId="0" borderId="6" xfId="0" applyFill="1" applyBorder="1"/>
    <xf numFmtId="0" fontId="5" fillId="12" borderId="0" xfId="0" applyFont="1" applyFill="1"/>
    <xf numFmtId="0" fontId="5" fillId="12" borderId="3" xfId="0" applyFont="1" applyFill="1" applyBorder="1"/>
    <xf numFmtId="0" fontId="0" fillId="2" borderId="0" xfId="0" applyFill="1"/>
    <xf numFmtId="0" fontId="0" fillId="13" borderId="0" xfId="0" applyFill="1"/>
    <xf numFmtId="0" fontId="0" fillId="13" borderId="3" xfId="0" applyFill="1" applyBorder="1"/>
    <xf numFmtId="0" fontId="0" fillId="13" borderId="6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F15"/>
  <sheetViews>
    <sheetView tabSelected="1" workbookViewId="0">
      <pane xSplit="1" topLeftCell="B1" activePane="topRight" state="frozen"/>
      <selection/>
      <selection pane="topRight" activeCell="FU10" sqref="FU10:GP10"/>
    </sheetView>
  </sheetViews>
  <sheetFormatPr defaultColWidth="8.81481481481481" defaultRowHeight="13.8"/>
  <cols>
    <col min="1" max="1" width="30.1759259259259" customWidth="1"/>
    <col min="2" max="2" width="4.62962962962963" style="3" customWidth="1"/>
    <col min="3" max="7" width="4.62962962962963" customWidth="1"/>
    <col min="8" max="8" width="4.62962962962963" style="4" customWidth="1"/>
    <col min="9" max="14" width="4.62962962962963" customWidth="1"/>
    <col min="15" max="15" width="4.62962962962963" style="4" customWidth="1"/>
    <col min="16" max="21" width="4.62962962962963" customWidth="1"/>
    <col min="22" max="22" width="4.62962962962963" style="4" customWidth="1"/>
    <col min="23" max="28" width="4.62962962962963" customWidth="1"/>
    <col min="29" max="29" width="4.62962962962963" style="4" customWidth="1"/>
    <col min="30" max="33" width="4.62962962962963" customWidth="1"/>
    <col min="34" max="34" width="4.62962962962963" style="5" customWidth="1"/>
    <col min="35" max="35" width="4.62962962962963" customWidth="1"/>
    <col min="36" max="36" width="4.62962962962963" style="4" customWidth="1"/>
    <col min="37" max="40" width="4.62962962962963" customWidth="1"/>
    <col min="41" max="41" width="4.62962962962963" style="6" customWidth="1"/>
    <col min="42" max="42" width="4.62962962962963" customWidth="1"/>
    <col min="43" max="43" width="4.62962962962963" style="7" customWidth="1"/>
    <col min="44" max="47" width="4.62962962962963" customWidth="1"/>
    <col min="48" max="48" width="4.62962962962963" style="5" customWidth="1"/>
    <col min="49" max="49" width="4.62962962962963" customWidth="1"/>
    <col min="50" max="50" width="4.62962962962963" style="4" customWidth="1"/>
    <col min="51" max="56" width="4.62962962962963" customWidth="1"/>
    <col min="57" max="57" width="4.62962962962963" style="4" customWidth="1"/>
    <col min="58" max="63" width="4.62962962962963" customWidth="1"/>
    <col min="64" max="64" width="4.62962962962963" style="4" customWidth="1"/>
    <col min="65" max="70" width="4.62962962962963" customWidth="1"/>
    <col min="71" max="71" width="4.62962962962963" style="4" customWidth="1"/>
    <col min="72" max="77" width="4.62962962962963" customWidth="1"/>
    <col min="78" max="78" width="4.62962962962963" style="4" customWidth="1"/>
    <col min="79" max="84" width="4.62962962962963" customWidth="1"/>
    <col min="85" max="85" width="4.62962962962963" style="4" customWidth="1"/>
    <col min="86" max="89" width="4.62962962962963" customWidth="1"/>
    <col min="90" max="90" width="4.62962962962963" style="5" customWidth="1"/>
    <col min="91" max="91" width="4.62962962962963" customWidth="1"/>
    <col min="92" max="92" width="4.62962962962963" style="4" customWidth="1"/>
    <col min="93" max="98" width="4.62962962962963" customWidth="1"/>
    <col min="99" max="99" width="4.62962962962963" style="4" customWidth="1"/>
    <col min="100" max="105" width="4.62962962962963" customWidth="1"/>
    <col min="106" max="106" width="4.62962962962963" style="4" customWidth="1"/>
    <col min="107" max="112" width="4.62962962962963" customWidth="1"/>
    <col min="113" max="113" width="4.62962962962963" style="4" customWidth="1"/>
    <col min="114" max="119" width="4.62962962962963" customWidth="1"/>
    <col min="120" max="120" width="4.62962962962963" style="4" customWidth="1"/>
    <col min="121" max="126" width="4.62962962962963" customWidth="1"/>
    <col min="127" max="127" width="4.62962962962963" style="4" customWidth="1"/>
    <col min="128" max="128" width="5" customWidth="1"/>
    <col min="129" max="133" width="4.62962962962963" customWidth="1"/>
    <col min="134" max="134" width="4.62962962962963" style="4" customWidth="1"/>
    <col min="135" max="140" width="4.62962962962963" customWidth="1"/>
    <col min="141" max="141" width="4.62962962962963" style="4" customWidth="1"/>
    <col min="142" max="147" width="4.62962962962963" customWidth="1"/>
    <col min="148" max="148" width="4.62962962962963" style="4" customWidth="1"/>
    <col min="149" max="154" width="4.62962962962963" customWidth="1"/>
    <col min="155" max="155" width="4.62962962962963" style="4" customWidth="1"/>
    <col min="156" max="161" width="4.62962962962963" customWidth="1"/>
    <col min="162" max="162" width="4.62962962962963" style="4" customWidth="1"/>
    <col min="163" max="168" width="4.62962962962963" customWidth="1"/>
    <col min="169" max="169" width="4.62962962962963" style="4" customWidth="1"/>
    <col min="170" max="175" width="4.62962962962963" customWidth="1"/>
    <col min="176" max="176" width="4.62962962962963" style="4" customWidth="1"/>
    <col min="177" max="182" width="4.62962962962963" customWidth="1"/>
    <col min="183" max="183" width="4.62962962962963" style="4" customWidth="1"/>
    <col min="184" max="189" width="4.62962962962963" customWidth="1"/>
    <col min="190" max="190" width="4.62962962962963" style="4" customWidth="1"/>
    <col min="191" max="196" width="4.62962962962963" customWidth="1"/>
    <col min="197" max="197" width="4.62962962962963" style="4" customWidth="1"/>
    <col min="198" max="198" width="4.62962962962963" style="8" customWidth="1"/>
    <col min="199" max="203" width="4.62962962962963" customWidth="1"/>
    <col min="204" max="204" width="4.62962962962963" style="4" customWidth="1"/>
    <col min="205" max="208" width="4.62962962962963" customWidth="1"/>
    <col min="209" max="209" width="4.62962962962963" style="5" customWidth="1"/>
    <col min="210" max="210" width="4.62962962962963" customWidth="1"/>
    <col min="211" max="211" width="4.62962962962963" style="4" customWidth="1"/>
  </cols>
  <sheetData>
    <row r="1" s="1" customFormat="1" spans="1:214">
      <c r="B1" s="9">
        <v>45915</v>
      </c>
      <c r="C1" s="9"/>
      <c r="D1" s="9"/>
      <c r="E1" s="9"/>
      <c r="F1" s="9"/>
      <c r="G1" s="9"/>
      <c r="H1" s="9"/>
      <c r="I1" s="9">
        <f>B1+7</f>
        <v>45922</v>
      </c>
      <c r="J1" s="9"/>
      <c r="K1" s="9"/>
      <c r="L1" s="9"/>
      <c r="M1" s="9"/>
      <c r="N1" s="9"/>
      <c r="O1" s="9"/>
      <c r="P1" s="9">
        <f>I1+7</f>
        <v>45929</v>
      </c>
      <c r="Q1" s="9"/>
      <c r="R1" s="9"/>
      <c r="S1" s="9"/>
      <c r="T1" s="9"/>
      <c r="U1" s="9"/>
      <c r="V1" s="9"/>
      <c r="W1" s="9">
        <f>P1+7</f>
        <v>45936</v>
      </c>
      <c r="X1" s="9"/>
      <c r="Y1" s="9"/>
      <c r="Z1" s="9"/>
      <c r="AA1" s="9"/>
      <c r="AB1" s="9"/>
      <c r="AC1" s="9"/>
      <c r="AD1" s="9">
        <f>W1+7</f>
        <v>45943</v>
      </c>
      <c r="AE1" s="9"/>
      <c r="AF1" s="9"/>
      <c r="AG1" s="9"/>
      <c r="AH1" s="9"/>
      <c r="AI1" s="9"/>
      <c r="AJ1" s="9"/>
      <c r="AK1" s="9">
        <f>AD1+7</f>
        <v>45950</v>
      </c>
      <c r="AL1" s="9"/>
      <c r="AM1" s="9"/>
      <c r="AN1" s="9"/>
      <c r="AO1" s="9"/>
      <c r="AP1" s="9"/>
      <c r="AQ1" s="9"/>
      <c r="AR1" s="9">
        <f>AK1+7</f>
        <v>45957</v>
      </c>
      <c r="AS1" s="9"/>
      <c r="AT1" s="9"/>
      <c r="AU1" s="9"/>
      <c r="AV1" s="9"/>
      <c r="AW1" s="9"/>
      <c r="AX1" s="9"/>
      <c r="AY1" s="9">
        <f>AR1+7</f>
        <v>45964</v>
      </c>
      <c r="AZ1" s="9"/>
      <c r="BA1" s="9"/>
      <c r="BB1" s="9"/>
      <c r="BC1" s="9"/>
      <c r="BD1" s="9"/>
      <c r="BE1" s="9"/>
      <c r="BF1" s="9">
        <f>AY1+7</f>
        <v>45971</v>
      </c>
      <c r="BG1" s="9"/>
      <c r="BH1" s="9"/>
      <c r="BI1" s="9"/>
      <c r="BJ1" s="9"/>
      <c r="BK1" s="9"/>
      <c r="BL1" s="9"/>
      <c r="BM1" s="9">
        <f>BF1+7</f>
        <v>45978</v>
      </c>
      <c r="BN1" s="9"/>
      <c r="BO1" s="9"/>
      <c r="BP1" s="9"/>
      <c r="BQ1" s="9"/>
      <c r="BR1" s="9"/>
      <c r="BS1" s="9"/>
      <c r="BT1" s="9">
        <f>BM1+7</f>
        <v>45985</v>
      </c>
      <c r="BU1" s="9"/>
      <c r="BV1" s="9"/>
      <c r="BW1" s="9"/>
      <c r="BX1" s="9"/>
      <c r="BY1" s="9"/>
      <c r="BZ1" s="9"/>
      <c r="CA1" s="9">
        <f>BT1+7</f>
        <v>45992</v>
      </c>
      <c r="CB1" s="9"/>
      <c r="CC1" s="9"/>
      <c r="CD1" s="9"/>
      <c r="CE1" s="9"/>
      <c r="CF1" s="9"/>
      <c r="CG1" s="9"/>
      <c r="CH1" s="9">
        <f>CA1+7</f>
        <v>45999</v>
      </c>
      <c r="CI1" s="9"/>
      <c r="CJ1" s="9"/>
      <c r="CK1" s="9"/>
      <c r="CL1" s="9"/>
      <c r="CM1" s="9"/>
      <c r="CN1" s="9"/>
      <c r="CO1" s="9">
        <f>CH1+7</f>
        <v>46006</v>
      </c>
      <c r="CP1" s="9"/>
      <c r="CQ1" s="9"/>
      <c r="CR1" s="9"/>
      <c r="CS1" s="9"/>
      <c r="CT1" s="9"/>
      <c r="CU1" s="9"/>
      <c r="CV1" s="9">
        <f>CO1+7</f>
        <v>46013</v>
      </c>
      <c r="CW1" s="9"/>
      <c r="CX1" s="9"/>
      <c r="CY1" s="9"/>
      <c r="CZ1" s="9"/>
      <c r="DA1" s="9"/>
      <c r="DB1" s="9"/>
      <c r="DC1" s="9">
        <f>CV1+7</f>
        <v>46020</v>
      </c>
      <c r="DD1" s="9"/>
      <c r="DE1" s="9"/>
      <c r="DF1" s="9"/>
      <c r="DG1" s="9"/>
      <c r="DH1" s="9"/>
      <c r="DI1" s="9"/>
      <c r="DJ1" s="9">
        <f>DC1+7</f>
        <v>46027</v>
      </c>
      <c r="DK1" s="9"/>
      <c r="DL1" s="9"/>
      <c r="DM1" s="9"/>
      <c r="DN1" s="9"/>
      <c r="DO1" s="9"/>
      <c r="DP1" s="9"/>
      <c r="DQ1" s="9">
        <f>DJ1+7</f>
        <v>46034</v>
      </c>
      <c r="DR1" s="9"/>
      <c r="DS1" s="9"/>
      <c r="DT1" s="9"/>
      <c r="DU1" s="9"/>
      <c r="DV1" s="9"/>
      <c r="DW1" s="9"/>
      <c r="DX1" s="9">
        <f>DQ1+7</f>
        <v>46041</v>
      </c>
      <c r="DY1" s="9"/>
      <c r="DZ1" s="9"/>
      <c r="EA1" s="9"/>
      <c r="EB1" s="9"/>
      <c r="EC1" s="9"/>
      <c r="ED1" s="9"/>
      <c r="EE1" s="9">
        <f>DX1+7</f>
        <v>46048</v>
      </c>
      <c r="EF1" s="9"/>
      <c r="EG1" s="9"/>
      <c r="EH1" s="9"/>
      <c r="EI1" s="9"/>
      <c r="EJ1" s="9"/>
      <c r="EK1" s="9"/>
      <c r="EL1" s="9">
        <f>EE1+7</f>
        <v>46055</v>
      </c>
      <c r="EM1" s="9"/>
      <c r="EN1" s="9"/>
      <c r="EO1" s="9"/>
      <c r="EP1" s="9"/>
      <c r="EQ1" s="9"/>
      <c r="ER1" s="9"/>
      <c r="ES1" s="9">
        <f>EL1+7</f>
        <v>46062</v>
      </c>
      <c r="ET1" s="9"/>
      <c r="EU1" s="9"/>
      <c r="EV1" s="9"/>
      <c r="EW1" s="9"/>
      <c r="EX1" s="9"/>
      <c r="EY1" s="9"/>
      <c r="EZ1" s="9">
        <f>ES1+7</f>
        <v>46069</v>
      </c>
      <c r="FA1" s="9"/>
      <c r="FB1" s="9"/>
      <c r="FC1" s="9"/>
      <c r="FD1" s="9"/>
      <c r="FE1" s="9"/>
      <c r="FF1" s="9"/>
      <c r="FG1" s="9">
        <f>EZ1+7</f>
        <v>46076</v>
      </c>
      <c r="FH1" s="9"/>
      <c r="FI1" s="9"/>
      <c r="FJ1" s="9"/>
      <c r="FK1" s="9"/>
      <c r="FL1" s="9"/>
      <c r="FM1" s="9"/>
      <c r="FN1" s="9">
        <f>FG1+7</f>
        <v>46083</v>
      </c>
      <c r="FO1" s="9"/>
      <c r="FP1" s="9"/>
      <c r="FQ1" s="9"/>
      <c r="FR1" s="9"/>
      <c r="FS1" s="9"/>
      <c r="FT1" s="9"/>
      <c r="FU1" s="9">
        <f>FN1+7</f>
        <v>46090</v>
      </c>
      <c r="FV1" s="9"/>
      <c r="FW1" s="9"/>
      <c r="FX1" s="9"/>
      <c r="FY1" s="9"/>
      <c r="FZ1" s="9"/>
      <c r="GA1" s="9"/>
      <c r="GB1" s="9">
        <f>FU1+7</f>
        <v>46097</v>
      </c>
      <c r="GC1" s="9"/>
      <c r="GD1" s="9"/>
      <c r="GE1" s="9"/>
      <c r="GF1" s="9"/>
      <c r="GG1" s="9"/>
      <c r="GH1" s="9"/>
      <c r="GI1" s="9">
        <f>GB1+7</f>
        <v>46104</v>
      </c>
      <c r="GJ1" s="9"/>
      <c r="GK1" s="9"/>
      <c r="GL1" s="9"/>
      <c r="GM1" s="9"/>
      <c r="GN1" s="9"/>
      <c r="GO1" s="9"/>
      <c r="GP1" s="9">
        <f>GI1+7</f>
        <v>46111</v>
      </c>
      <c r="GQ1" s="9"/>
      <c r="GR1" s="9"/>
      <c r="GS1" s="9"/>
      <c r="GT1" s="9"/>
      <c r="GU1" s="9"/>
      <c r="GV1" s="9"/>
      <c r="GW1" s="9">
        <f>GP1+7</f>
        <v>46118</v>
      </c>
      <c r="GX1" s="9"/>
      <c r="GY1" s="9"/>
      <c r="GZ1" s="9"/>
      <c r="HA1" s="9"/>
      <c r="HB1" s="9"/>
      <c r="HC1" s="9"/>
    </row>
    <row r="2" s="2" customFormat="1" ht="77" customHeight="1" spans="1:214">
      <c r="A2" s="10"/>
      <c r="B2" s="11">
        <v>45915</v>
      </c>
      <c r="C2" s="12">
        <f>B2+1</f>
        <v>45916</v>
      </c>
      <c r="D2" s="12">
        <f>C2+1</f>
        <v>45917</v>
      </c>
      <c r="E2" s="12">
        <f t="shared" ref="E2:BP2" si="0">D2+1</f>
        <v>45918</v>
      </c>
      <c r="F2" s="12">
        <f t="shared" si="0"/>
        <v>45919</v>
      </c>
      <c r="G2" s="12">
        <f t="shared" si="0"/>
        <v>45920</v>
      </c>
      <c r="H2" s="13">
        <f t="shared" si="0"/>
        <v>45921</v>
      </c>
      <c r="I2" s="12">
        <f t="shared" si="0"/>
        <v>45922</v>
      </c>
      <c r="J2" s="12">
        <f t="shared" si="0"/>
        <v>45923</v>
      </c>
      <c r="K2" s="12">
        <f t="shared" si="0"/>
        <v>45924</v>
      </c>
      <c r="L2" s="12">
        <f t="shared" si="0"/>
        <v>45925</v>
      </c>
      <c r="M2" s="12">
        <f t="shared" si="0"/>
        <v>45926</v>
      </c>
      <c r="N2" s="12">
        <f t="shared" si="0"/>
        <v>45927</v>
      </c>
      <c r="O2" s="13">
        <f t="shared" si="0"/>
        <v>45928</v>
      </c>
      <c r="P2" s="12">
        <f t="shared" si="0"/>
        <v>45929</v>
      </c>
      <c r="Q2" s="12">
        <f t="shared" si="0"/>
        <v>45930</v>
      </c>
      <c r="R2" s="12">
        <f t="shared" si="0"/>
        <v>45931</v>
      </c>
      <c r="S2" s="12">
        <f t="shared" si="0"/>
        <v>45932</v>
      </c>
      <c r="T2" s="12">
        <f t="shared" si="0"/>
        <v>45933</v>
      </c>
      <c r="U2" s="12">
        <f t="shared" si="0"/>
        <v>45934</v>
      </c>
      <c r="V2" s="13">
        <f t="shared" si="0"/>
        <v>45935</v>
      </c>
      <c r="W2" s="12">
        <f t="shared" si="0"/>
        <v>45936</v>
      </c>
      <c r="X2" s="12">
        <f t="shared" si="0"/>
        <v>45937</v>
      </c>
      <c r="Y2" s="12">
        <f t="shared" si="0"/>
        <v>45938</v>
      </c>
      <c r="Z2" s="12">
        <f t="shared" si="0"/>
        <v>45939</v>
      </c>
      <c r="AA2" s="12">
        <f t="shared" si="0"/>
        <v>45940</v>
      </c>
      <c r="AB2" s="12">
        <f t="shared" si="0"/>
        <v>45941</v>
      </c>
      <c r="AC2" s="13">
        <f t="shared" si="0"/>
        <v>45942</v>
      </c>
      <c r="AD2" s="12">
        <f t="shared" si="0"/>
        <v>45943</v>
      </c>
      <c r="AE2" s="12">
        <f t="shared" si="0"/>
        <v>45944</v>
      </c>
      <c r="AF2" s="12">
        <f t="shared" si="0"/>
        <v>45945</v>
      </c>
      <c r="AG2" s="12">
        <f t="shared" si="0"/>
        <v>45946</v>
      </c>
      <c r="AH2" s="14">
        <f t="shared" si="0"/>
        <v>45947</v>
      </c>
      <c r="AI2" s="15">
        <f t="shared" si="0"/>
        <v>45948</v>
      </c>
      <c r="AJ2" s="13">
        <f t="shared" si="0"/>
        <v>45949</v>
      </c>
      <c r="AK2" s="12">
        <f t="shared" si="0"/>
        <v>45950</v>
      </c>
      <c r="AL2" s="12">
        <f t="shared" si="0"/>
        <v>45951</v>
      </c>
      <c r="AM2" s="12">
        <f t="shared" si="0"/>
        <v>45952</v>
      </c>
      <c r="AN2" s="12">
        <f t="shared" si="0"/>
        <v>45953</v>
      </c>
      <c r="AO2" s="15">
        <f t="shared" si="0"/>
        <v>45954</v>
      </c>
      <c r="AP2" s="15">
        <f t="shared" si="0"/>
        <v>45955</v>
      </c>
      <c r="AQ2" s="16">
        <f t="shared" si="0"/>
        <v>45956</v>
      </c>
      <c r="AR2" s="12">
        <f t="shared" si="0"/>
        <v>45957</v>
      </c>
      <c r="AS2" s="12">
        <f t="shared" si="0"/>
        <v>45958</v>
      </c>
      <c r="AT2" s="12">
        <f t="shared" si="0"/>
        <v>45959</v>
      </c>
      <c r="AU2" s="12">
        <f t="shared" si="0"/>
        <v>45960</v>
      </c>
      <c r="AV2" s="14">
        <f t="shared" si="0"/>
        <v>45961</v>
      </c>
      <c r="AW2" s="15">
        <f t="shared" si="0"/>
        <v>45962</v>
      </c>
      <c r="AX2" s="13">
        <f t="shared" si="0"/>
        <v>45963</v>
      </c>
      <c r="AY2" s="12">
        <f t="shared" si="0"/>
        <v>45964</v>
      </c>
      <c r="AZ2" s="12">
        <f t="shared" si="0"/>
        <v>45965</v>
      </c>
      <c r="BA2" s="12">
        <f t="shared" si="0"/>
        <v>45966</v>
      </c>
      <c r="BB2" s="12">
        <f t="shared" si="0"/>
        <v>45967</v>
      </c>
      <c r="BC2" s="15">
        <f t="shared" si="0"/>
        <v>45968</v>
      </c>
      <c r="BD2" s="15">
        <f t="shared" si="0"/>
        <v>45969</v>
      </c>
      <c r="BE2" s="13">
        <f t="shared" si="0"/>
        <v>45970</v>
      </c>
      <c r="BF2" s="12">
        <f t="shared" si="0"/>
        <v>45971</v>
      </c>
      <c r="BG2" s="12">
        <f t="shared" si="0"/>
        <v>45972</v>
      </c>
      <c r="BH2" s="12">
        <f t="shared" si="0"/>
        <v>45973</v>
      </c>
      <c r="BI2" s="12">
        <f t="shared" si="0"/>
        <v>45974</v>
      </c>
      <c r="BJ2" s="12">
        <f t="shared" si="0"/>
        <v>45975</v>
      </c>
      <c r="BK2" s="12">
        <f t="shared" si="0"/>
        <v>45976</v>
      </c>
      <c r="BL2" s="13">
        <f t="shared" si="0"/>
        <v>45977</v>
      </c>
      <c r="BM2" s="12">
        <f t="shared" si="0"/>
        <v>45978</v>
      </c>
      <c r="BN2" s="12">
        <f t="shared" si="0"/>
        <v>45979</v>
      </c>
      <c r="BO2" s="12">
        <f t="shared" si="0"/>
        <v>45980</v>
      </c>
      <c r="BP2" s="12">
        <f t="shared" si="0"/>
        <v>45981</v>
      </c>
      <c r="BQ2" s="12">
        <f t="shared" ref="BQ2:EB2" si="1">BP2+1</f>
        <v>45982</v>
      </c>
      <c r="BR2" s="12">
        <f t="shared" si="1"/>
        <v>45983</v>
      </c>
      <c r="BS2" s="13">
        <f t="shared" si="1"/>
        <v>45984</v>
      </c>
      <c r="BT2" s="12">
        <f t="shared" si="1"/>
        <v>45985</v>
      </c>
      <c r="BU2" s="12">
        <f t="shared" si="1"/>
        <v>45986</v>
      </c>
      <c r="BV2" s="12">
        <f t="shared" si="1"/>
        <v>45987</v>
      </c>
      <c r="BW2" s="12">
        <f t="shared" si="1"/>
        <v>45988</v>
      </c>
      <c r="BX2" s="12">
        <f t="shared" si="1"/>
        <v>45989</v>
      </c>
      <c r="BY2" s="12">
        <f t="shared" si="1"/>
        <v>45990</v>
      </c>
      <c r="BZ2" s="13">
        <f t="shared" si="1"/>
        <v>45991</v>
      </c>
      <c r="CA2" s="12">
        <f t="shared" si="1"/>
        <v>45992</v>
      </c>
      <c r="CB2" s="12">
        <f t="shared" si="1"/>
        <v>45993</v>
      </c>
      <c r="CC2" s="12">
        <f t="shared" si="1"/>
        <v>45994</v>
      </c>
      <c r="CD2" s="12">
        <f t="shared" si="1"/>
        <v>45995</v>
      </c>
      <c r="CE2" s="12">
        <f t="shared" si="1"/>
        <v>45996</v>
      </c>
      <c r="CF2" s="12">
        <f t="shared" si="1"/>
        <v>45997</v>
      </c>
      <c r="CG2" s="13">
        <f t="shared" si="1"/>
        <v>45998</v>
      </c>
      <c r="CH2" s="12">
        <f t="shared" si="1"/>
        <v>45999</v>
      </c>
      <c r="CI2" s="12">
        <f t="shared" si="1"/>
        <v>46000</v>
      </c>
      <c r="CJ2" s="12">
        <f t="shared" si="1"/>
        <v>46001</v>
      </c>
      <c r="CK2" s="12">
        <f t="shared" si="1"/>
        <v>46002</v>
      </c>
      <c r="CL2" s="14">
        <f t="shared" si="1"/>
        <v>46003</v>
      </c>
      <c r="CM2" s="15">
        <f t="shared" si="1"/>
        <v>46004</v>
      </c>
      <c r="CN2" s="13">
        <f t="shared" si="1"/>
        <v>46005</v>
      </c>
      <c r="CO2" s="12">
        <f t="shared" si="1"/>
        <v>46006</v>
      </c>
      <c r="CP2" s="12">
        <f t="shared" si="1"/>
        <v>46007</v>
      </c>
      <c r="CQ2" s="12">
        <f t="shared" si="1"/>
        <v>46008</v>
      </c>
      <c r="CR2" s="12">
        <f t="shared" si="1"/>
        <v>46009</v>
      </c>
      <c r="CS2" s="12">
        <f t="shared" si="1"/>
        <v>46010</v>
      </c>
      <c r="CT2" s="12">
        <f t="shared" si="1"/>
        <v>46011</v>
      </c>
      <c r="CU2" s="13">
        <f t="shared" si="1"/>
        <v>46012</v>
      </c>
      <c r="CV2" s="12">
        <f t="shared" si="1"/>
        <v>46013</v>
      </c>
      <c r="CW2" s="12">
        <f t="shared" si="1"/>
        <v>46014</v>
      </c>
      <c r="CX2" s="12">
        <f t="shared" si="1"/>
        <v>46015</v>
      </c>
      <c r="CY2" s="12">
        <f t="shared" si="1"/>
        <v>46016</v>
      </c>
      <c r="CZ2" s="12">
        <f t="shared" si="1"/>
        <v>46017</v>
      </c>
      <c r="DA2" s="12">
        <f t="shared" si="1"/>
        <v>46018</v>
      </c>
      <c r="DB2" s="13">
        <f t="shared" si="1"/>
        <v>46019</v>
      </c>
      <c r="DC2" s="12">
        <f t="shared" si="1"/>
        <v>46020</v>
      </c>
      <c r="DD2" s="12">
        <f t="shared" si="1"/>
        <v>46021</v>
      </c>
      <c r="DE2" s="12">
        <f t="shared" si="1"/>
        <v>46022</v>
      </c>
      <c r="DF2" s="12">
        <f t="shared" si="1"/>
        <v>46023</v>
      </c>
      <c r="DG2" s="12">
        <f t="shared" si="1"/>
        <v>46024</v>
      </c>
      <c r="DH2" s="12">
        <f t="shared" si="1"/>
        <v>46025</v>
      </c>
      <c r="DI2" s="13">
        <f t="shared" si="1"/>
        <v>46026</v>
      </c>
      <c r="DJ2" s="12">
        <f t="shared" si="1"/>
        <v>46027</v>
      </c>
      <c r="DK2" s="12">
        <f t="shared" si="1"/>
        <v>46028</v>
      </c>
      <c r="DL2" s="12">
        <f t="shared" si="1"/>
        <v>46029</v>
      </c>
      <c r="DM2" s="12">
        <f t="shared" si="1"/>
        <v>46030</v>
      </c>
      <c r="DN2" s="12">
        <f t="shared" si="1"/>
        <v>46031</v>
      </c>
      <c r="DO2" s="12">
        <f t="shared" si="1"/>
        <v>46032</v>
      </c>
      <c r="DP2" s="13">
        <f t="shared" si="1"/>
        <v>46033</v>
      </c>
      <c r="DQ2" s="12">
        <f t="shared" si="1"/>
        <v>46034</v>
      </c>
      <c r="DR2" s="12">
        <f t="shared" si="1"/>
        <v>46035</v>
      </c>
      <c r="DS2" s="12">
        <f t="shared" si="1"/>
        <v>46036</v>
      </c>
      <c r="DT2" s="12">
        <f t="shared" si="1"/>
        <v>46037</v>
      </c>
      <c r="DU2" s="12">
        <f t="shared" si="1"/>
        <v>46038</v>
      </c>
      <c r="DV2" s="12">
        <f t="shared" si="1"/>
        <v>46039</v>
      </c>
      <c r="DW2" s="13">
        <f t="shared" si="1"/>
        <v>46040</v>
      </c>
      <c r="DX2" s="12">
        <f t="shared" si="1"/>
        <v>46041</v>
      </c>
      <c r="DY2" s="12">
        <f t="shared" si="1"/>
        <v>46042</v>
      </c>
      <c r="DZ2" s="12">
        <f t="shared" si="1"/>
        <v>46043</v>
      </c>
      <c r="EA2" s="12">
        <f t="shared" si="1"/>
        <v>46044</v>
      </c>
      <c r="EB2" s="12">
        <f t="shared" si="1"/>
        <v>46045</v>
      </c>
      <c r="EC2" s="12">
        <f t="shared" ref="EC2:GN2" si="2">EB2+1</f>
        <v>46046</v>
      </c>
      <c r="ED2" s="13">
        <f t="shared" si="2"/>
        <v>46047</v>
      </c>
      <c r="EE2" s="12">
        <f t="shared" si="2"/>
        <v>46048</v>
      </c>
      <c r="EF2" s="12">
        <f t="shared" si="2"/>
        <v>46049</v>
      </c>
      <c r="EG2" s="12">
        <f t="shared" si="2"/>
        <v>46050</v>
      </c>
      <c r="EH2" s="12">
        <f t="shared" si="2"/>
        <v>46051</v>
      </c>
      <c r="EI2" s="12">
        <f t="shared" si="2"/>
        <v>46052</v>
      </c>
      <c r="EJ2" s="12">
        <f t="shared" si="2"/>
        <v>46053</v>
      </c>
      <c r="EK2" s="13">
        <f t="shared" si="2"/>
        <v>46054</v>
      </c>
      <c r="EL2" s="12">
        <f t="shared" si="2"/>
        <v>46055</v>
      </c>
      <c r="EM2" s="12">
        <f t="shared" si="2"/>
        <v>46056</v>
      </c>
      <c r="EN2" s="12">
        <f t="shared" si="2"/>
        <v>46057</v>
      </c>
      <c r="EO2" s="12">
        <f t="shared" si="2"/>
        <v>46058</v>
      </c>
      <c r="EP2" s="12">
        <f t="shared" si="2"/>
        <v>46059</v>
      </c>
      <c r="EQ2" s="12">
        <f t="shared" si="2"/>
        <v>46060</v>
      </c>
      <c r="ER2" s="13">
        <f t="shared" si="2"/>
        <v>46061</v>
      </c>
      <c r="ES2" s="12">
        <f t="shared" si="2"/>
        <v>46062</v>
      </c>
      <c r="ET2" s="12">
        <f t="shared" si="2"/>
        <v>46063</v>
      </c>
      <c r="EU2" s="12">
        <f t="shared" si="2"/>
        <v>46064</v>
      </c>
      <c r="EV2" s="12">
        <f t="shared" si="2"/>
        <v>46065</v>
      </c>
      <c r="EW2" s="12">
        <f t="shared" si="2"/>
        <v>46066</v>
      </c>
      <c r="EX2" s="12">
        <f t="shared" si="2"/>
        <v>46067</v>
      </c>
      <c r="EY2" s="13">
        <f t="shared" si="2"/>
        <v>46068</v>
      </c>
      <c r="EZ2" s="12">
        <f t="shared" si="2"/>
        <v>46069</v>
      </c>
      <c r="FA2" s="12">
        <f t="shared" si="2"/>
        <v>46070</v>
      </c>
      <c r="FB2" s="12">
        <f t="shared" si="2"/>
        <v>46071</v>
      </c>
      <c r="FC2" s="12">
        <f t="shared" si="2"/>
        <v>46072</v>
      </c>
      <c r="FD2" s="12">
        <f t="shared" si="2"/>
        <v>46073</v>
      </c>
      <c r="FE2" s="12">
        <f t="shared" si="2"/>
        <v>46074</v>
      </c>
      <c r="FF2" s="13">
        <f t="shared" si="2"/>
        <v>46075</v>
      </c>
      <c r="FG2" s="12">
        <f t="shared" si="2"/>
        <v>46076</v>
      </c>
      <c r="FH2" s="12">
        <f t="shared" si="2"/>
        <v>46077</v>
      </c>
      <c r="FI2" s="12">
        <f t="shared" si="2"/>
        <v>46078</v>
      </c>
      <c r="FJ2" s="12">
        <f t="shared" si="2"/>
        <v>46079</v>
      </c>
      <c r="FK2" s="12">
        <f t="shared" si="2"/>
        <v>46080</v>
      </c>
      <c r="FL2" s="12">
        <f t="shared" si="2"/>
        <v>46081</v>
      </c>
      <c r="FM2" s="13">
        <f t="shared" si="2"/>
        <v>46082</v>
      </c>
      <c r="FN2" s="12">
        <f t="shared" si="2"/>
        <v>46083</v>
      </c>
      <c r="FO2" s="12">
        <f t="shared" si="2"/>
        <v>46084</v>
      </c>
      <c r="FP2" s="12">
        <f t="shared" si="2"/>
        <v>46085</v>
      </c>
      <c r="FQ2" s="12">
        <f t="shared" si="2"/>
        <v>46086</v>
      </c>
      <c r="FR2" s="12">
        <f t="shared" si="2"/>
        <v>46087</v>
      </c>
      <c r="FS2" s="12">
        <f t="shared" si="2"/>
        <v>46088</v>
      </c>
      <c r="FT2" s="13">
        <f t="shared" si="2"/>
        <v>46089</v>
      </c>
      <c r="FU2" s="12">
        <f t="shared" si="2"/>
        <v>46090</v>
      </c>
      <c r="FV2" s="12">
        <f t="shared" si="2"/>
        <v>46091</v>
      </c>
      <c r="FW2" s="12">
        <f t="shared" si="2"/>
        <v>46092</v>
      </c>
      <c r="FX2" s="12">
        <f t="shared" si="2"/>
        <v>46093</v>
      </c>
      <c r="FY2" s="12">
        <f t="shared" si="2"/>
        <v>46094</v>
      </c>
      <c r="FZ2" s="12">
        <f t="shared" si="2"/>
        <v>46095</v>
      </c>
      <c r="GA2" s="13">
        <f t="shared" si="2"/>
        <v>46096</v>
      </c>
      <c r="GB2" s="12">
        <f t="shared" si="2"/>
        <v>46097</v>
      </c>
      <c r="GC2" s="12">
        <f t="shared" si="2"/>
        <v>46098</v>
      </c>
      <c r="GD2" s="12">
        <f t="shared" si="2"/>
        <v>46099</v>
      </c>
      <c r="GE2" s="12">
        <f t="shared" si="2"/>
        <v>46100</v>
      </c>
      <c r="GF2" s="12">
        <f t="shared" si="2"/>
        <v>46101</v>
      </c>
      <c r="GG2" s="12">
        <f t="shared" si="2"/>
        <v>46102</v>
      </c>
      <c r="GH2" s="13">
        <f t="shared" si="2"/>
        <v>46103</v>
      </c>
      <c r="GI2" s="12">
        <f t="shared" si="2"/>
        <v>46104</v>
      </c>
      <c r="GJ2" s="12">
        <f t="shared" si="2"/>
        <v>46105</v>
      </c>
      <c r="GK2" s="12">
        <f t="shared" si="2"/>
        <v>46106</v>
      </c>
      <c r="GL2" s="12">
        <f t="shared" si="2"/>
        <v>46107</v>
      </c>
      <c r="GM2" s="12">
        <f t="shared" si="2"/>
        <v>46108</v>
      </c>
      <c r="GN2" s="12">
        <f t="shared" si="2"/>
        <v>46109</v>
      </c>
      <c r="GO2" s="13">
        <f t="shared" ref="GO2:HC2" si="3">GN2+1</f>
        <v>46110</v>
      </c>
      <c r="GP2" s="17">
        <f t="shared" si="3"/>
        <v>46111</v>
      </c>
      <c r="GQ2" s="12">
        <f t="shared" si="3"/>
        <v>46112</v>
      </c>
      <c r="GR2" s="12">
        <f t="shared" si="3"/>
        <v>46113</v>
      </c>
      <c r="GS2" s="12">
        <f t="shared" si="3"/>
        <v>46114</v>
      </c>
      <c r="GT2" s="12">
        <f t="shared" si="3"/>
        <v>46115</v>
      </c>
      <c r="GU2" s="12">
        <f t="shared" si="3"/>
        <v>46116</v>
      </c>
      <c r="GV2" s="13">
        <f t="shared" si="3"/>
        <v>46117</v>
      </c>
      <c r="GW2" s="12">
        <f t="shared" si="3"/>
        <v>46118</v>
      </c>
      <c r="GX2" s="12">
        <f t="shared" si="3"/>
        <v>46119</v>
      </c>
      <c r="GY2" s="12">
        <f t="shared" si="3"/>
        <v>46120</v>
      </c>
      <c r="GZ2" s="12">
        <f t="shared" si="3"/>
        <v>46121</v>
      </c>
      <c r="HA2" s="14">
        <f t="shared" si="3"/>
        <v>46122</v>
      </c>
      <c r="HB2" s="12">
        <f t="shared" si="3"/>
        <v>46123</v>
      </c>
      <c r="HC2" s="13">
        <f t="shared" si="3"/>
        <v>46124</v>
      </c>
      <c r="HD2" s="12"/>
      <c r="HE2" s="12"/>
      <c r="HF2" s="12"/>
    </row>
    <row r="3" spans="1:214">
      <c r="A3" s="18" t="s">
        <v>0</v>
      </c>
      <c r="AI3" s="19"/>
      <c r="AP3" s="19"/>
      <c r="AW3" s="19"/>
      <c r="BD3" s="19"/>
      <c r="CL3" s="20"/>
      <c r="GP3" s="21"/>
      <c r="GQ3" s="19"/>
      <c r="HA3" s="20"/>
    </row>
    <row r="4" spans="1:214">
      <c r="A4" t="s">
        <v>1</v>
      </c>
      <c r="B4" s="22"/>
      <c r="C4" s="22"/>
      <c r="D4" s="22"/>
      <c r="E4" s="22"/>
      <c r="F4" s="22"/>
      <c r="G4" s="22"/>
      <c r="H4" s="23"/>
      <c r="I4" s="22"/>
      <c r="J4" s="22"/>
      <c r="K4" s="22"/>
      <c r="L4" s="22"/>
      <c r="M4" s="22"/>
      <c r="N4" s="22"/>
      <c r="O4" s="23"/>
      <c r="P4" s="22"/>
      <c r="Q4" s="22"/>
      <c r="R4" s="22"/>
      <c r="S4" s="22"/>
      <c r="T4" s="22"/>
      <c r="U4" s="22"/>
      <c r="V4" s="23"/>
      <c r="W4" s="22"/>
      <c r="X4" s="22"/>
      <c r="Y4" s="22"/>
      <c r="Z4" s="22"/>
      <c r="AA4" s="22"/>
      <c r="AB4" s="22"/>
      <c r="AC4" s="23"/>
      <c r="AD4" s="24"/>
      <c r="AE4" s="24"/>
      <c r="AF4" s="24"/>
      <c r="AG4" s="24"/>
      <c r="AH4" s="25"/>
      <c r="AI4" s="24"/>
      <c r="AJ4" s="26"/>
    </row>
    <row r="5" spans="1:214">
      <c r="A5" t="s">
        <v>2</v>
      </c>
      <c r="AD5" s="27"/>
      <c r="AE5" s="27"/>
      <c r="AF5" s="27"/>
      <c r="AG5" s="27"/>
      <c r="AH5" s="28"/>
      <c r="AI5" s="27"/>
      <c r="AJ5" s="29"/>
      <c r="AK5" s="30"/>
      <c r="AL5" s="30"/>
      <c r="AM5" s="30"/>
      <c r="AN5" s="30"/>
      <c r="AO5" s="31"/>
      <c r="AP5" s="30"/>
      <c r="AQ5" s="32"/>
      <c r="AR5" s="30"/>
      <c r="AS5" s="30"/>
      <c r="AT5" s="30"/>
      <c r="AU5" s="30"/>
      <c r="AV5" s="33"/>
      <c r="AW5" s="30"/>
      <c r="AX5" s="34"/>
      <c r="AY5" s="35"/>
      <c r="AZ5" s="35"/>
      <c r="BA5" s="35"/>
      <c r="BB5" s="35"/>
      <c r="BC5" s="35"/>
      <c r="BD5" s="35"/>
      <c r="BE5" s="36"/>
      <c r="BF5" s="35"/>
      <c r="BG5" s="35"/>
      <c r="BH5" s="35"/>
      <c r="BI5" s="35"/>
      <c r="BJ5" s="35"/>
      <c r="BK5" s="35"/>
      <c r="BL5" s="36"/>
      <c r="BM5" s="35"/>
      <c r="BN5" s="35"/>
      <c r="BO5" s="35"/>
      <c r="BP5" s="35"/>
      <c r="BQ5" s="35"/>
      <c r="BR5" s="35"/>
      <c r="BS5" s="36"/>
    </row>
    <row r="6" spans="1:214">
      <c r="A6" t="s">
        <v>3</v>
      </c>
      <c r="AY6" s="37"/>
      <c r="AZ6" s="37"/>
      <c r="BA6" s="37"/>
      <c r="BB6" s="37"/>
      <c r="BC6" s="37"/>
      <c r="BD6" s="37"/>
      <c r="BE6" s="38"/>
      <c r="BF6" s="37"/>
      <c r="BG6" s="37"/>
      <c r="BH6" s="37"/>
      <c r="BI6" s="37"/>
      <c r="BJ6" s="37"/>
      <c r="BK6" s="37"/>
      <c r="BL6" s="38"/>
      <c r="BM6" s="37"/>
      <c r="BN6" s="37"/>
      <c r="BO6" s="37"/>
      <c r="BP6" s="37"/>
      <c r="BQ6" s="37"/>
      <c r="BR6" s="37"/>
      <c r="BS6" s="38"/>
      <c r="BT6" s="39"/>
      <c r="BU6" s="39"/>
      <c r="BV6" s="39"/>
      <c r="BW6" s="39"/>
      <c r="BX6" s="39"/>
      <c r="BY6" s="39"/>
      <c r="BZ6" s="40"/>
      <c r="CA6" s="39"/>
      <c r="CB6" s="39"/>
      <c r="CC6" s="39"/>
      <c r="CD6" s="39"/>
      <c r="CE6" s="39"/>
      <c r="CF6" s="39"/>
      <c r="CG6" s="40"/>
      <c r="CH6" s="39"/>
      <c r="CI6" s="39"/>
      <c r="CJ6" s="39"/>
      <c r="CK6" s="39"/>
      <c r="CL6" s="41"/>
      <c r="CM6" s="39"/>
      <c r="CN6" s="40"/>
    </row>
    <row r="7" spans="1:214">
      <c r="A7" t="s">
        <v>4</v>
      </c>
      <c r="CH7" s="27"/>
      <c r="CI7" s="27"/>
      <c r="CJ7" s="27"/>
      <c r="CK7" s="27"/>
      <c r="CL7" s="28"/>
      <c r="CM7" s="27"/>
      <c r="CN7" s="29"/>
      <c r="CO7" s="42"/>
      <c r="CP7" s="42"/>
      <c r="CQ7" s="42"/>
      <c r="CR7" s="42"/>
      <c r="CS7" s="42"/>
      <c r="CT7" s="42"/>
      <c r="CU7" s="43"/>
      <c r="CV7" s="42"/>
      <c r="CW7" s="42"/>
      <c r="CX7" s="42"/>
      <c r="CY7" s="42"/>
      <c r="CZ7" s="42"/>
      <c r="DA7" s="42"/>
      <c r="DB7" s="43"/>
      <c r="DC7" s="27"/>
      <c r="DD7" s="27"/>
      <c r="DE7" s="27"/>
      <c r="DF7" s="27"/>
      <c r="DG7" s="27"/>
      <c r="DH7" s="27"/>
      <c r="DI7" s="29"/>
    </row>
    <row r="8" spans="1:214">
      <c r="A8" t="s">
        <v>5</v>
      </c>
      <c r="DC8" s="44"/>
      <c r="DD8" s="44"/>
      <c r="DE8" s="44"/>
      <c r="DF8" s="44"/>
      <c r="DG8" s="44"/>
      <c r="DH8" s="44"/>
      <c r="DI8" s="45"/>
      <c r="DJ8" s="44"/>
      <c r="DK8" s="44"/>
      <c r="DL8" s="44"/>
      <c r="DM8" s="44"/>
      <c r="DN8" s="44"/>
      <c r="DO8" s="44"/>
      <c r="DP8" s="45"/>
      <c r="DQ8" s="27"/>
      <c r="DR8" s="27"/>
      <c r="DS8" s="27"/>
      <c r="DT8" s="27"/>
      <c r="DU8" s="27"/>
      <c r="DV8" s="27"/>
      <c r="DW8" s="29"/>
      <c r="DX8" s="27"/>
      <c r="DY8" s="27"/>
      <c r="DZ8" s="27"/>
      <c r="EA8" s="27"/>
      <c r="EB8" s="27"/>
      <c r="EC8" s="27"/>
      <c r="ED8" s="29"/>
      <c r="EE8" s="27"/>
      <c r="EF8" s="27"/>
      <c r="EG8" s="27"/>
      <c r="EH8" s="27"/>
      <c r="EI8" s="27"/>
      <c r="EJ8" s="27"/>
      <c r="EK8" s="29"/>
    </row>
    <row r="9" spans="1:214">
      <c r="A9" t="s">
        <v>6</v>
      </c>
      <c r="DQ9" s="46"/>
      <c r="DR9" s="46"/>
      <c r="DS9" s="46"/>
      <c r="DT9" s="46"/>
      <c r="DU9" s="46"/>
      <c r="DV9" s="46"/>
      <c r="DW9" s="47"/>
      <c r="DX9" s="46"/>
      <c r="DY9" s="46"/>
      <c r="DZ9" s="46"/>
      <c r="EA9" s="46"/>
      <c r="EB9" s="46"/>
      <c r="EC9" s="46"/>
      <c r="ED9" s="47"/>
      <c r="EE9" s="46"/>
      <c r="EF9" s="46"/>
      <c r="EG9" s="46"/>
      <c r="EH9" s="46"/>
      <c r="EI9" s="46"/>
      <c r="EJ9" s="46"/>
      <c r="EK9" s="47"/>
      <c r="EL9" s="27"/>
      <c r="EM9" s="27"/>
      <c r="EN9" s="27"/>
      <c r="EO9" s="27"/>
      <c r="EP9" s="27"/>
      <c r="EQ9" s="27"/>
      <c r="ER9" s="29"/>
      <c r="ES9" s="27"/>
      <c r="ET9" s="27"/>
      <c r="EU9" s="27"/>
      <c r="EV9" s="27"/>
      <c r="EW9" s="27"/>
      <c r="EX9" s="27"/>
      <c r="EY9" s="29"/>
      <c r="EZ9" s="27"/>
      <c r="FA9" s="27"/>
      <c r="FB9" s="27"/>
      <c r="FC9" s="27"/>
      <c r="FD9" s="27"/>
      <c r="FE9" s="27"/>
      <c r="FF9" s="29"/>
      <c r="FG9" s="27"/>
      <c r="FH9" s="27"/>
      <c r="FI9" s="27"/>
      <c r="FJ9" s="27"/>
      <c r="FK9" s="27"/>
      <c r="FL9" s="27"/>
      <c r="FM9" s="29"/>
      <c r="FN9" s="27"/>
      <c r="FO9" s="27"/>
      <c r="FP9" s="27"/>
      <c r="FQ9" s="27"/>
      <c r="FR9" s="27"/>
      <c r="FS9" s="27"/>
      <c r="FT9" s="29"/>
    </row>
    <row r="10" spans="1:214">
      <c r="A10" t="s">
        <v>7</v>
      </c>
      <c r="EL10" s="48"/>
      <c r="EM10" s="48"/>
      <c r="EN10" s="48"/>
      <c r="EO10" s="48"/>
      <c r="EP10" s="48"/>
      <c r="EQ10" s="48"/>
      <c r="ER10" s="49"/>
      <c r="ES10" s="48"/>
      <c r="ET10" s="48"/>
      <c r="EU10" s="48"/>
      <c r="EV10" s="48"/>
      <c r="EW10" s="48"/>
      <c r="EX10" s="48"/>
      <c r="EY10" s="49"/>
      <c r="EZ10" s="48"/>
      <c r="FA10" s="48"/>
      <c r="FB10" s="48"/>
      <c r="FC10" s="48"/>
      <c r="FD10" s="48"/>
      <c r="FE10" s="48"/>
      <c r="FF10" s="49"/>
      <c r="FU10" s="27"/>
      <c r="FV10" s="27"/>
      <c r="FW10" s="27"/>
      <c r="FX10" s="27"/>
      <c r="FY10" s="27"/>
      <c r="FZ10" s="27"/>
      <c r="GA10" s="29"/>
      <c r="GB10" s="27"/>
      <c r="GC10" s="27"/>
      <c r="GD10" s="27"/>
      <c r="GE10" s="27"/>
      <c r="GF10" s="27"/>
      <c r="GG10" s="27"/>
      <c r="GH10" s="29"/>
      <c r="GI10" s="27"/>
      <c r="GJ10" s="27"/>
      <c r="GK10" s="27"/>
      <c r="GL10" s="27"/>
      <c r="GM10" s="27"/>
      <c r="GN10" s="27"/>
      <c r="GO10" s="29"/>
      <c r="GP10" s="50"/>
    </row>
    <row r="11" spans="1:214">
      <c r="A11" t="s">
        <v>8</v>
      </c>
      <c r="FG11" s="51"/>
      <c r="FH11" s="51"/>
      <c r="FI11" s="51"/>
      <c r="FJ11" s="51"/>
      <c r="FK11" s="51"/>
      <c r="FL11" s="51"/>
      <c r="FM11" s="52"/>
      <c r="FN11" s="51"/>
      <c r="FO11" s="51"/>
      <c r="FP11" s="51"/>
      <c r="FQ11" s="51"/>
      <c r="FR11" s="51"/>
      <c r="FS11" s="51"/>
      <c r="FT11" s="52"/>
      <c r="FU11" s="51"/>
      <c r="FV11" s="51"/>
      <c r="FW11" s="51"/>
      <c r="FX11" s="51"/>
      <c r="FY11" s="51"/>
      <c r="FZ11" s="51"/>
      <c r="GA11" s="52"/>
    </row>
    <row r="12" spans="1:214">
      <c r="A12" t="s">
        <v>9</v>
      </c>
      <c r="AU12" s="53"/>
      <c r="GB12" s="54"/>
      <c r="GC12" s="54"/>
      <c r="GD12" s="54"/>
      <c r="GE12" s="54"/>
      <c r="GF12" s="54"/>
      <c r="GG12" s="54"/>
      <c r="GH12" s="55"/>
      <c r="GI12" s="54"/>
      <c r="GJ12" s="54"/>
      <c r="GK12" s="54"/>
      <c r="GL12" s="54"/>
      <c r="GM12" s="54"/>
      <c r="GN12" s="54"/>
      <c r="GO12" s="55"/>
      <c r="GP12" s="56"/>
    </row>
    <row r="15" spans="1:214">
      <c r="A15" s="6" t="s">
        <v>10</v>
      </c>
    </row>
  </sheetData>
  <mergeCells count="30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CV1:DB1"/>
    <mergeCell ref="DC1:DI1"/>
    <mergeCell ref="DJ1:DP1"/>
    <mergeCell ref="DQ1:DW1"/>
    <mergeCell ref="DX1:ED1"/>
    <mergeCell ref="EE1:EK1"/>
    <mergeCell ref="EL1:ER1"/>
    <mergeCell ref="ES1:EY1"/>
    <mergeCell ref="EZ1:FF1"/>
    <mergeCell ref="FG1:FM1"/>
    <mergeCell ref="FN1:FT1"/>
    <mergeCell ref="FU1:GA1"/>
    <mergeCell ref="GB1:GH1"/>
    <mergeCell ref="GI1:GO1"/>
    <mergeCell ref="GP1:GV1"/>
    <mergeCell ref="GW1:HC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Petrie (Staff)</dc:creator>
  <cp:lastModifiedBy>睿</cp:lastModifiedBy>
  <dcterms:created xsi:type="dcterms:W3CDTF">2025-09-13T06:06:00Z</dcterms:created>
  <dcterms:modified xsi:type="dcterms:W3CDTF">2025-12-12T06:24:58Z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2025-09-13T08:37:20Z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5a6a42a0-000f-4926-9187-c90d61cd24c7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10, 3, 0, 1</vt:lpwstr>
  </property>
  <property fmtid="{D5CDD505-2E9C-101B-9397-08002B2CF9AE}" pid="10" name="ICV">
    <vt:lpwstr>BF730784E7424FCCB7464D79352F16DA_13</vt:lpwstr>
  </property>
  <property fmtid="{D5CDD505-2E9C-101B-9397-08002B2CF9AE}" pid="11" name="KSOProductBuildVer">
    <vt:lpwstr>2052-12.1.0.24034</vt:lpwstr>
  </property>
  <property fmtid="{D5CDD505-2E9C-101B-9397-08002B2CF9AE}" pid="12" name="CalculationRule">
    <vt:i4>0</vt:i4>
  </property>
</Properties>
</file>